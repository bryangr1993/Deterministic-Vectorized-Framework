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9ad398ae42531c0/Desktop/ARTÍCULO Q1/"/>
    </mc:Choice>
  </mc:AlternateContent>
  <xr:revisionPtr revIDLastSave="59" documentId="11_23F921ED56034CE24076A0253AB4ECC07452B9ED" xr6:coauthVersionLast="47" xr6:coauthVersionMax="47" xr10:uidLastSave="{D95FCFCD-A578-4E64-92D7-890EA34E88FC}"/>
  <bookViews>
    <workbookView xWindow="-110" yWindow="-110" windowWidth="25820" windowHeight="15500" activeTab="1" xr2:uid="{00000000-000D-0000-FFFF-FFFF00000000}"/>
  </bookViews>
  <sheets>
    <sheet name="Sheet1" sheetId="1" r:id="rId1"/>
    <sheet name="Sheet1 (2)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5" i="2" l="1"/>
  <c r="K20" i="2"/>
  <c r="J22" i="2"/>
  <c r="J20" i="2"/>
  <c r="I20" i="2"/>
  <c r="Q3" i="2"/>
  <c r="R3" i="2" s="1"/>
  <c r="P3" i="2"/>
  <c r="Q2" i="2"/>
  <c r="R2" i="2" s="1"/>
  <c r="AA3" i="1"/>
  <c r="Z2" i="1"/>
  <c r="AB3" i="1"/>
  <c r="AB2" i="1"/>
  <c r="AA2" i="1"/>
  <c r="Z4" i="1"/>
  <c r="Z3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2" i="1"/>
  <c r="P2" i="2" l="1"/>
  <c r="P4" i="2" s="1"/>
</calcChain>
</file>

<file path=xl/sharedStrings.xml><?xml version="1.0" encoding="utf-8"?>
<sst xmlns="http://schemas.openxmlformats.org/spreadsheetml/2006/main" count="107" uniqueCount="32">
  <si>
    <t>fecha_inicio</t>
  </si>
  <si>
    <t>fecha_fin</t>
  </si>
  <si>
    <t>dias_entre_fechas</t>
  </si>
  <si>
    <t>dias_evaluados</t>
  </si>
  <si>
    <t>dias_no_evaluados</t>
  </si>
  <si>
    <t>hora_apertura</t>
  </si>
  <si>
    <t>v_rango</t>
  </si>
  <si>
    <t>v_espera</t>
  </si>
  <si>
    <t>TP_Ticks</t>
  </si>
  <si>
    <t>SL_ticks</t>
  </si>
  <si>
    <t>Tipo_vela_rompimiento</t>
  </si>
  <si>
    <t>duracion_vela</t>
  </si>
  <si>
    <t>tick_size</t>
  </si>
  <si>
    <t>dias_sin_entrada</t>
  </si>
  <si>
    <t>TPs_alcanzados</t>
  </si>
  <si>
    <t>SLs_alcanzados</t>
  </si>
  <si>
    <t>Ticks_totales_TPs</t>
  </si>
  <si>
    <t>Ticks_totales_SLs</t>
  </si>
  <si>
    <t>Ticks_totales_estrategia</t>
  </si>
  <si>
    <t>Margen_Utilidad</t>
  </si>
  <si>
    <t>2024-12-01</t>
  </si>
  <si>
    <t>2025-03-31</t>
  </si>
  <si>
    <t>11:00</t>
  </si>
  <si>
    <t>1:00</t>
  </si>
  <si>
    <t>16:00</t>
  </si>
  <si>
    <t>20:00</t>
  </si>
  <si>
    <t>15:00</t>
  </si>
  <si>
    <t>23:00</t>
  </si>
  <si>
    <t>22:00</t>
  </si>
  <si>
    <t>-</t>
  </si>
  <si>
    <t>tp</t>
  </si>
  <si>
    <t>sl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</si>
</sst>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8"/>
  <sheetViews>
    <sheetView topLeftCell="K1" workbookViewId="0">
      <selection activeCell="Y9" sqref="Y9"/>
    </sheetView>
  </sheetViews>
  <sheetFormatPr defaultRowHeight="14.5" x14ac:dyDescent="0.35"/>
  <cols>
    <col min="2" max="2" width="14.6328125" customWidth="1"/>
    <col min="11" max="11" width="17.81640625" customWidth="1"/>
    <col min="12" max="12" width="13.6328125" customWidth="1"/>
    <col min="14" max="14" width="16.26953125" customWidth="1"/>
    <col min="15" max="15" width="13.6328125" customWidth="1"/>
    <col min="16" max="16" width="14.08984375" customWidth="1"/>
    <col min="17" max="17" width="14.36328125" customWidth="1"/>
    <col min="18" max="18" width="16.08984375" customWidth="1"/>
    <col min="19" max="19" width="25.81640625" customWidth="1"/>
    <col min="20" max="20" width="17.6328125" customWidth="1"/>
    <col min="21" max="21" width="14.7265625" customWidth="1"/>
  </cols>
  <sheetData>
    <row r="1" spans="1:2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/>
      <c r="U1" s="1" t="s">
        <v>19</v>
      </c>
    </row>
    <row r="2" spans="1:28" x14ac:dyDescent="0.35">
      <c r="A2" t="s">
        <v>20</v>
      </c>
      <c r="B2" t="s">
        <v>21</v>
      </c>
      <c r="C2">
        <v>121</v>
      </c>
      <c r="D2">
        <v>121</v>
      </c>
      <c r="E2">
        <v>0</v>
      </c>
      <c r="F2" t="s">
        <v>22</v>
      </c>
      <c r="G2">
        <v>24</v>
      </c>
      <c r="H2">
        <v>6</v>
      </c>
      <c r="I2">
        <v>35</v>
      </c>
      <c r="J2">
        <v>285</v>
      </c>
      <c r="K2">
        <v>1</v>
      </c>
      <c r="L2">
        <v>5</v>
      </c>
      <c r="M2">
        <v>1.0000000000000001E-5</v>
      </c>
      <c r="N2">
        <v>90</v>
      </c>
      <c r="O2">
        <v>29</v>
      </c>
      <c r="P2">
        <v>2</v>
      </c>
      <c r="Q2">
        <v>1015</v>
      </c>
      <c r="R2">
        <v>570</v>
      </c>
      <c r="S2">
        <v>445</v>
      </c>
      <c r="T2">
        <f>+ABS(S2)</f>
        <v>445</v>
      </c>
      <c r="U2">
        <v>78.069999999999993</v>
      </c>
      <c r="W2">
        <v>3135</v>
      </c>
      <c r="Z2">
        <f>+T2+T4+T5+T6+T7+T8+T9+T10+T11+T12+T13+T15+T17+T18</f>
        <v>29520</v>
      </c>
      <c r="AA2">
        <f>+U2+U4+U5+U6+U7+U8+U9+U10+U11+U12+U13+U15+U17+U18</f>
        <v>763.87</v>
      </c>
      <c r="AB2">
        <f>+AA2/14</f>
        <v>54.562142857142859</v>
      </c>
    </row>
    <row r="3" spans="1:28" s="2" customFormat="1" x14ac:dyDescent="0.35">
      <c r="A3" s="2" t="s">
        <v>20</v>
      </c>
      <c r="B3" s="2" t="s">
        <v>21</v>
      </c>
      <c r="C3" s="2">
        <v>121</v>
      </c>
      <c r="D3" s="2">
        <v>121</v>
      </c>
      <c r="E3" s="2">
        <v>0</v>
      </c>
      <c r="F3" s="2" t="s">
        <v>23</v>
      </c>
      <c r="G3" s="2">
        <v>18</v>
      </c>
      <c r="H3" s="2">
        <v>6</v>
      </c>
      <c r="I3" s="2">
        <v>35</v>
      </c>
      <c r="J3" s="2">
        <v>360</v>
      </c>
      <c r="K3" s="2">
        <v>0</v>
      </c>
      <c r="L3" s="2">
        <v>5</v>
      </c>
      <c r="M3" s="2">
        <v>1.0000000000000001E-5</v>
      </c>
      <c r="N3" s="2">
        <v>66</v>
      </c>
      <c r="O3" s="2">
        <v>50</v>
      </c>
      <c r="P3" s="2">
        <v>5</v>
      </c>
      <c r="Q3" s="2">
        <v>1750</v>
      </c>
      <c r="R3" s="2">
        <v>1800</v>
      </c>
      <c r="S3" s="2">
        <v>-50</v>
      </c>
      <c r="T3" s="2">
        <f t="shared" ref="T3:T18" si="0">+ABS(S3)</f>
        <v>50</v>
      </c>
      <c r="U3" s="2">
        <v>2.86</v>
      </c>
      <c r="W3" s="2">
        <v>3785</v>
      </c>
      <c r="Y3" s="2" t="s">
        <v>29</v>
      </c>
      <c r="Z3" s="2">
        <f>+T3+T14+T16</f>
        <v>2030</v>
      </c>
      <c r="AA3" s="2">
        <f>+U3+U14+U16</f>
        <v>25.130000000000003</v>
      </c>
      <c r="AB3" s="2">
        <f>+AA3/3</f>
        <v>8.3766666666666669</v>
      </c>
    </row>
    <row r="4" spans="1:28" x14ac:dyDescent="0.35">
      <c r="A4" t="s">
        <v>20</v>
      </c>
      <c r="B4" t="s">
        <v>21</v>
      </c>
      <c r="C4">
        <v>121</v>
      </c>
      <c r="D4">
        <v>121</v>
      </c>
      <c r="E4">
        <v>0</v>
      </c>
      <c r="F4" t="s">
        <v>23</v>
      </c>
      <c r="G4">
        <v>18</v>
      </c>
      <c r="H4">
        <v>12</v>
      </c>
      <c r="I4">
        <v>35</v>
      </c>
      <c r="J4">
        <v>360</v>
      </c>
      <c r="K4">
        <v>0</v>
      </c>
      <c r="L4">
        <v>5</v>
      </c>
      <c r="M4">
        <v>1.0000000000000001E-5</v>
      </c>
      <c r="N4">
        <v>49</v>
      </c>
      <c r="O4">
        <v>66</v>
      </c>
      <c r="P4">
        <v>6</v>
      </c>
      <c r="Q4">
        <v>2310</v>
      </c>
      <c r="R4">
        <v>2160</v>
      </c>
      <c r="S4">
        <v>150</v>
      </c>
      <c r="T4">
        <f t="shared" si="0"/>
        <v>150</v>
      </c>
      <c r="U4">
        <v>6.94</v>
      </c>
      <c r="W4">
        <v>5165</v>
      </c>
      <c r="Z4">
        <f>+Z2/Z3</f>
        <v>14.541871921182265</v>
      </c>
    </row>
    <row r="5" spans="1:28" x14ac:dyDescent="0.35">
      <c r="A5" t="s">
        <v>20</v>
      </c>
      <c r="B5" t="s">
        <v>21</v>
      </c>
      <c r="C5">
        <v>121</v>
      </c>
      <c r="D5">
        <v>121</v>
      </c>
      <c r="E5">
        <v>0</v>
      </c>
      <c r="F5" t="s">
        <v>23</v>
      </c>
      <c r="G5">
        <v>18</v>
      </c>
      <c r="H5">
        <v>18</v>
      </c>
      <c r="I5">
        <v>35</v>
      </c>
      <c r="J5">
        <v>360</v>
      </c>
      <c r="K5">
        <v>0</v>
      </c>
      <c r="L5">
        <v>5</v>
      </c>
      <c r="M5">
        <v>1.0000000000000001E-5</v>
      </c>
      <c r="N5">
        <v>44</v>
      </c>
      <c r="O5">
        <v>71</v>
      </c>
      <c r="P5">
        <v>6</v>
      </c>
      <c r="Q5">
        <v>2485</v>
      </c>
      <c r="R5">
        <v>2160</v>
      </c>
      <c r="S5">
        <v>325</v>
      </c>
      <c r="T5">
        <f t="shared" si="0"/>
        <v>325</v>
      </c>
      <c r="U5">
        <v>15.05</v>
      </c>
      <c r="W5">
        <v>5215</v>
      </c>
    </row>
    <row r="6" spans="1:28" x14ac:dyDescent="0.35">
      <c r="A6" t="s">
        <v>20</v>
      </c>
      <c r="B6" t="s">
        <v>21</v>
      </c>
      <c r="C6">
        <v>121</v>
      </c>
      <c r="D6">
        <v>121</v>
      </c>
      <c r="E6">
        <v>0</v>
      </c>
      <c r="F6" t="s">
        <v>24</v>
      </c>
      <c r="G6">
        <v>0</v>
      </c>
      <c r="H6">
        <v>6</v>
      </c>
      <c r="I6">
        <v>260</v>
      </c>
      <c r="J6">
        <v>60</v>
      </c>
      <c r="K6">
        <v>1</v>
      </c>
      <c r="L6">
        <v>5</v>
      </c>
      <c r="M6">
        <v>1.0000000000000001E-5</v>
      </c>
      <c r="N6">
        <v>45</v>
      </c>
      <c r="O6">
        <v>9</v>
      </c>
      <c r="P6">
        <v>67</v>
      </c>
      <c r="Q6">
        <v>2340</v>
      </c>
      <c r="R6">
        <v>4020</v>
      </c>
      <c r="S6">
        <v>-1680</v>
      </c>
      <c r="T6">
        <f t="shared" si="0"/>
        <v>1680</v>
      </c>
      <c r="U6">
        <v>71.790000000000006</v>
      </c>
      <c r="W6">
        <v>-6480</v>
      </c>
    </row>
    <row r="7" spans="1:28" x14ac:dyDescent="0.35">
      <c r="A7" t="s">
        <v>20</v>
      </c>
      <c r="B7" t="s">
        <v>21</v>
      </c>
      <c r="C7">
        <v>121</v>
      </c>
      <c r="D7">
        <v>121</v>
      </c>
      <c r="E7">
        <v>0</v>
      </c>
      <c r="F7" t="s">
        <v>24</v>
      </c>
      <c r="G7">
        <v>0</v>
      </c>
      <c r="H7">
        <v>24</v>
      </c>
      <c r="I7">
        <v>260</v>
      </c>
      <c r="J7">
        <v>60</v>
      </c>
      <c r="K7">
        <v>1</v>
      </c>
      <c r="L7">
        <v>5</v>
      </c>
      <c r="M7">
        <v>1.0000000000000001E-5</v>
      </c>
      <c r="N7">
        <v>40</v>
      </c>
      <c r="O7">
        <v>10</v>
      </c>
      <c r="P7">
        <v>71</v>
      </c>
      <c r="Q7">
        <v>2600</v>
      </c>
      <c r="R7">
        <v>4260</v>
      </c>
      <c r="S7">
        <v>-1660</v>
      </c>
      <c r="T7">
        <f t="shared" si="0"/>
        <v>1660</v>
      </c>
      <c r="U7">
        <v>63.85</v>
      </c>
      <c r="W7">
        <v>-6600</v>
      </c>
    </row>
    <row r="8" spans="1:28" x14ac:dyDescent="0.35">
      <c r="A8" t="s">
        <v>20</v>
      </c>
      <c r="B8" t="s">
        <v>21</v>
      </c>
      <c r="C8">
        <v>121</v>
      </c>
      <c r="D8">
        <v>121</v>
      </c>
      <c r="E8">
        <v>0</v>
      </c>
      <c r="F8" t="s">
        <v>24</v>
      </c>
      <c r="G8">
        <v>0</v>
      </c>
      <c r="H8">
        <v>3</v>
      </c>
      <c r="I8">
        <v>235</v>
      </c>
      <c r="J8">
        <v>85</v>
      </c>
      <c r="K8">
        <v>1</v>
      </c>
      <c r="L8">
        <v>5</v>
      </c>
      <c r="M8">
        <v>1.0000000000000001E-5</v>
      </c>
      <c r="N8">
        <v>48</v>
      </c>
      <c r="O8">
        <v>17</v>
      </c>
      <c r="P8">
        <v>56</v>
      </c>
      <c r="Q8">
        <v>3995</v>
      </c>
      <c r="R8">
        <v>4760</v>
      </c>
      <c r="S8">
        <v>-765</v>
      </c>
      <c r="T8">
        <f t="shared" si="0"/>
        <v>765</v>
      </c>
      <c r="U8">
        <v>19.149999999999999</v>
      </c>
      <c r="W8">
        <v>-6875</v>
      </c>
    </row>
    <row r="9" spans="1:28" x14ac:dyDescent="0.35">
      <c r="A9" t="s">
        <v>20</v>
      </c>
      <c r="B9" t="s">
        <v>21</v>
      </c>
      <c r="C9">
        <v>121</v>
      </c>
      <c r="D9">
        <v>121</v>
      </c>
      <c r="E9">
        <v>0</v>
      </c>
      <c r="F9" t="s">
        <v>24</v>
      </c>
      <c r="G9">
        <v>0</v>
      </c>
      <c r="H9">
        <v>3</v>
      </c>
      <c r="I9">
        <v>260</v>
      </c>
      <c r="J9">
        <v>85</v>
      </c>
      <c r="K9">
        <v>1</v>
      </c>
      <c r="L9">
        <v>5</v>
      </c>
      <c r="M9">
        <v>1.0000000000000001E-5</v>
      </c>
      <c r="N9">
        <v>48</v>
      </c>
      <c r="O9">
        <v>14</v>
      </c>
      <c r="P9">
        <v>59</v>
      </c>
      <c r="Q9">
        <v>3640</v>
      </c>
      <c r="R9">
        <v>5015</v>
      </c>
      <c r="S9">
        <v>-1375</v>
      </c>
      <c r="T9">
        <f t="shared" si="0"/>
        <v>1375</v>
      </c>
      <c r="U9">
        <v>37.770000000000003</v>
      </c>
      <c r="W9">
        <v>-6940</v>
      </c>
    </row>
    <row r="10" spans="1:28" x14ac:dyDescent="0.35">
      <c r="A10" t="s">
        <v>20</v>
      </c>
      <c r="B10" t="s">
        <v>21</v>
      </c>
      <c r="C10">
        <v>121</v>
      </c>
      <c r="D10">
        <v>121</v>
      </c>
      <c r="E10">
        <v>0</v>
      </c>
      <c r="F10" t="s">
        <v>25</v>
      </c>
      <c r="G10">
        <v>12</v>
      </c>
      <c r="H10">
        <v>6</v>
      </c>
      <c r="I10">
        <v>260</v>
      </c>
      <c r="J10">
        <v>210</v>
      </c>
      <c r="K10">
        <v>0</v>
      </c>
      <c r="L10">
        <v>5</v>
      </c>
      <c r="M10">
        <v>1.0000000000000001E-5</v>
      </c>
      <c r="N10">
        <v>77</v>
      </c>
      <c r="O10">
        <v>12</v>
      </c>
      <c r="P10">
        <v>32</v>
      </c>
      <c r="Q10">
        <v>3120</v>
      </c>
      <c r="R10">
        <v>6720</v>
      </c>
      <c r="S10">
        <v>-3600</v>
      </c>
      <c r="T10">
        <f t="shared" si="0"/>
        <v>3600</v>
      </c>
      <c r="U10">
        <v>115.38</v>
      </c>
      <c r="W10">
        <v>-9690</v>
      </c>
    </row>
    <row r="11" spans="1:28" x14ac:dyDescent="0.35">
      <c r="A11" t="s">
        <v>20</v>
      </c>
      <c r="B11" t="s">
        <v>21</v>
      </c>
      <c r="C11">
        <v>121</v>
      </c>
      <c r="D11">
        <v>121</v>
      </c>
      <c r="E11">
        <v>0</v>
      </c>
      <c r="F11" t="s">
        <v>25</v>
      </c>
      <c r="G11">
        <v>12</v>
      </c>
      <c r="H11">
        <v>3</v>
      </c>
      <c r="I11">
        <v>260</v>
      </c>
      <c r="J11">
        <v>210</v>
      </c>
      <c r="K11">
        <v>1</v>
      </c>
      <c r="L11">
        <v>5</v>
      </c>
      <c r="M11">
        <v>1.0000000000000001E-5</v>
      </c>
      <c r="N11">
        <v>74</v>
      </c>
      <c r="O11">
        <v>15</v>
      </c>
      <c r="P11">
        <v>32</v>
      </c>
      <c r="Q11">
        <v>3900</v>
      </c>
      <c r="R11">
        <v>6720</v>
      </c>
      <c r="S11">
        <v>-2820</v>
      </c>
      <c r="T11">
        <f t="shared" si="0"/>
        <v>2820</v>
      </c>
      <c r="U11">
        <v>72.31</v>
      </c>
      <c r="W11">
        <v>-10010</v>
      </c>
    </row>
    <row r="12" spans="1:28" x14ac:dyDescent="0.35">
      <c r="A12" t="s">
        <v>20</v>
      </c>
      <c r="B12" t="s">
        <v>21</v>
      </c>
      <c r="C12">
        <v>121</v>
      </c>
      <c r="D12">
        <v>121</v>
      </c>
      <c r="E12">
        <v>0</v>
      </c>
      <c r="F12" t="s">
        <v>25</v>
      </c>
      <c r="G12">
        <v>12</v>
      </c>
      <c r="H12">
        <v>3</v>
      </c>
      <c r="I12">
        <v>285</v>
      </c>
      <c r="J12">
        <v>210</v>
      </c>
      <c r="K12">
        <v>1</v>
      </c>
      <c r="L12">
        <v>5</v>
      </c>
      <c r="M12">
        <v>1.0000000000000001E-5</v>
      </c>
      <c r="N12">
        <v>74</v>
      </c>
      <c r="O12">
        <v>14</v>
      </c>
      <c r="P12">
        <v>33</v>
      </c>
      <c r="Q12">
        <v>3990</v>
      </c>
      <c r="R12">
        <v>6930</v>
      </c>
      <c r="S12">
        <v>-2940</v>
      </c>
      <c r="T12">
        <f t="shared" si="0"/>
        <v>2940</v>
      </c>
      <c r="U12">
        <v>73.680000000000007</v>
      </c>
      <c r="W12">
        <v>-10125</v>
      </c>
    </row>
    <row r="13" spans="1:28" x14ac:dyDescent="0.35">
      <c r="A13" t="s">
        <v>20</v>
      </c>
      <c r="B13" t="s">
        <v>21</v>
      </c>
      <c r="C13">
        <v>121</v>
      </c>
      <c r="D13">
        <v>121</v>
      </c>
      <c r="E13">
        <v>0</v>
      </c>
      <c r="F13" t="s">
        <v>25</v>
      </c>
      <c r="G13">
        <v>12</v>
      </c>
      <c r="H13">
        <v>12</v>
      </c>
      <c r="I13">
        <v>260</v>
      </c>
      <c r="J13">
        <v>185</v>
      </c>
      <c r="K13">
        <v>0</v>
      </c>
      <c r="L13">
        <v>5</v>
      </c>
      <c r="M13">
        <v>1.0000000000000001E-5</v>
      </c>
      <c r="N13">
        <v>60</v>
      </c>
      <c r="O13">
        <v>18</v>
      </c>
      <c r="P13">
        <v>43</v>
      </c>
      <c r="Q13">
        <v>4680</v>
      </c>
      <c r="R13">
        <v>7955</v>
      </c>
      <c r="S13">
        <v>-3275</v>
      </c>
      <c r="T13">
        <f t="shared" si="0"/>
        <v>3275</v>
      </c>
      <c r="U13">
        <v>69.98</v>
      </c>
      <c r="W13">
        <v>-10240</v>
      </c>
    </row>
    <row r="14" spans="1:28" s="2" customFormat="1" x14ac:dyDescent="0.35">
      <c r="A14" s="2" t="s">
        <v>20</v>
      </c>
      <c r="B14" s="2" t="s">
        <v>21</v>
      </c>
      <c r="C14" s="2">
        <v>121</v>
      </c>
      <c r="D14" s="2">
        <v>121</v>
      </c>
      <c r="E14" s="2">
        <v>0</v>
      </c>
      <c r="F14" s="2" t="s">
        <v>26</v>
      </c>
      <c r="G14" s="2">
        <v>0</v>
      </c>
      <c r="H14" s="2">
        <v>3</v>
      </c>
      <c r="I14" s="2">
        <v>310</v>
      </c>
      <c r="J14" s="2">
        <v>160</v>
      </c>
      <c r="K14" s="2">
        <v>0</v>
      </c>
      <c r="L14" s="2">
        <v>5</v>
      </c>
      <c r="M14" s="2">
        <v>1.0000000000000001E-5</v>
      </c>
      <c r="N14" s="2">
        <v>54</v>
      </c>
      <c r="O14" s="2">
        <v>24</v>
      </c>
      <c r="P14" s="2">
        <v>43</v>
      </c>
      <c r="Q14" s="2">
        <v>7440</v>
      </c>
      <c r="R14" s="2">
        <v>6880</v>
      </c>
      <c r="S14" s="2">
        <v>560</v>
      </c>
      <c r="T14" s="2">
        <f t="shared" si="0"/>
        <v>560</v>
      </c>
      <c r="U14" s="2">
        <v>8.14</v>
      </c>
      <c r="W14" s="2">
        <v>-10330</v>
      </c>
      <c r="Y14" s="2" t="s">
        <v>29</v>
      </c>
    </row>
    <row r="15" spans="1:28" x14ac:dyDescent="0.35">
      <c r="A15" t="s">
        <v>20</v>
      </c>
      <c r="B15" t="s">
        <v>21</v>
      </c>
      <c r="C15">
        <v>121</v>
      </c>
      <c r="D15">
        <v>121</v>
      </c>
      <c r="E15">
        <v>0</v>
      </c>
      <c r="F15" t="s">
        <v>25</v>
      </c>
      <c r="G15">
        <v>12</v>
      </c>
      <c r="H15">
        <v>12</v>
      </c>
      <c r="I15">
        <v>260</v>
      </c>
      <c r="J15">
        <v>210</v>
      </c>
      <c r="K15">
        <v>0</v>
      </c>
      <c r="L15">
        <v>5</v>
      </c>
      <c r="M15">
        <v>1.0000000000000001E-5</v>
      </c>
      <c r="N15">
        <v>60</v>
      </c>
      <c r="O15">
        <v>19</v>
      </c>
      <c r="P15">
        <v>42</v>
      </c>
      <c r="Q15">
        <v>4940</v>
      </c>
      <c r="R15">
        <v>8820</v>
      </c>
      <c r="S15">
        <v>-3880</v>
      </c>
      <c r="T15">
        <f t="shared" si="0"/>
        <v>3880</v>
      </c>
      <c r="U15">
        <v>78.540000000000006</v>
      </c>
      <c r="W15">
        <v>-10420</v>
      </c>
    </row>
    <row r="16" spans="1:28" s="2" customFormat="1" x14ac:dyDescent="0.35">
      <c r="A16" s="2" t="s">
        <v>20</v>
      </c>
      <c r="B16" s="2" t="s">
        <v>21</v>
      </c>
      <c r="C16" s="2">
        <v>121</v>
      </c>
      <c r="D16" s="2">
        <v>121</v>
      </c>
      <c r="E16" s="2">
        <v>0</v>
      </c>
      <c r="F16" s="2" t="s">
        <v>26</v>
      </c>
      <c r="G16" s="2">
        <v>0</v>
      </c>
      <c r="H16" s="2">
        <v>3</v>
      </c>
      <c r="I16" s="2">
        <v>310</v>
      </c>
      <c r="J16" s="2">
        <v>335</v>
      </c>
      <c r="K16" s="2">
        <v>0</v>
      </c>
      <c r="L16" s="2">
        <v>5</v>
      </c>
      <c r="M16" s="2">
        <v>1.0000000000000001E-5</v>
      </c>
      <c r="N16" s="2">
        <v>54</v>
      </c>
      <c r="O16" s="2">
        <v>37</v>
      </c>
      <c r="P16" s="2">
        <v>30</v>
      </c>
      <c r="Q16" s="2">
        <v>11470</v>
      </c>
      <c r="R16" s="2">
        <v>10050</v>
      </c>
      <c r="S16" s="2">
        <v>1420</v>
      </c>
      <c r="T16" s="2">
        <f t="shared" si="0"/>
        <v>1420</v>
      </c>
      <c r="U16" s="2">
        <v>14.13</v>
      </c>
      <c r="W16" s="2">
        <v>-14245</v>
      </c>
      <c r="Y16" s="2" t="s">
        <v>29</v>
      </c>
    </row>
    <row r="17" spans="1:23" x14ac:dyDescent="0.35">
      <c r="A17" t="s">
        <v>20</v>
      </c>
      <c r="B17" t="s">
        <v>21</v>
      </c>
      <c r="C17">
        <v>121</v>
      </c>
      <c r="D17">
        <v>121</v>
      </c>
      <c r="E17">
        <v>0</v>
      </c>
      <c r="F17" t="s">
        <v>27</v>
      </c>
      <c r="G17">
        <v>0</v>
      </c>
      <c r="H17">
        <v>1</v>
      </c>
      <c r="I17">
        <v>360</v>
      </c>
      <c r="J17">
        <v>285</v>
      </c>
      <c r="K17">
        <v>1</v>
      </c>
      <c r="L17">
        <v>5</v>
      </c>
      <c r="M17">
        <v>1.0000000000000001E-5</v>
      </c>
      <c r="N17">
        <v>49</v>
      </c>
      <c r="O17">
        <v>33</v>
      </c>
      <c r="P17">
        <v>39</v>
      </c>
      <c r="Q17">
        <v>11880</v>
      </c>
      <c r="R17">
        <v>11115</v>
      </c>
      <c r="S17">
        <v>765</v>
      </c>
      <c r="T17">
        <f t="shared" si="0"/>
        <v>765</v>
      </c>
      <c r="U17">
        <v>6.88</v>
      </c>
      <c r="W17">
        <v>15390</v>
      </c>
    </row>
    <row r="18" spans="1:23" x14ac:dyDescent="0.35">
      <c r="A18" t="s">
        <v>20</v>
      </c>
      <c r="B18" t="s">
        <v>21</v>
      </c>
      <c r="C18">
        <v>121</v>
      </c>
      <c r="D18">
        <v>121</v>
      </c>
      <c r="E18">
        <v>0</v>
      </c>
      <c r="F18" t="s">
        <v>28</v>
      </c>
      <c r="G18">
        <v>18</v>
      </c>
      <c r="H18">
        <v>24</v>
      </c>
      <c r="I18">
        <v>360</v>
      </c>
      <c r="J18">
        <v>335</v>
      </c>
      <c r="K18">
        <v>1</v>
      </c>
      <c r="L18">
        <v>5</v>
      </c>
      <c r="M18">
        <v>1.0000000000000001E-5</v>
      </c>
      <c r="N18">
        <v>43</v>
      </c>
      <c r="O18">
        <v>46</v>
      </c>
      <c r="P18">
        <v>32</v>
      </c>
      <c r="Q18">
        <v>16560</v>
      </c>
      <c r="R18">
        <v>10720</v>
      </c>
      <c r="S18">
        <v>5840</v>
      </c>
      <c r="T18">
        <f t="shared" si="0"/>
        <v>5840</v>
      </c>
      <c r="U18">
        <v>54.48</v>
      </c>
      <c r="W18">
        <v>17285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F2233-EE4A-40DB-B36E-7AB8C90AF22D}">
  <dimension ref="A1:R25"/>
  <sheetViews>
    <sheetView tabSelected="1" workbookViewId="0">
      <selection activeCell="J26" sqref="J26"/>
    </sheetView>
  </sheetViews>
  <sheetFormatPr defaultRowHeight="14.5" x14ac:dyDescent="0.35"/>
  <cols>
    <col min="1" max="1" width="17.36328125" customWidth="1"/>
    <col min="6" max="6" width="16.6328125" customWidth="1"/>
    <col min="7" max="7" width="16.26953125" customWidth="1"/>
    <col min="8" max="8" width="13.6328125" customWidth="1"/>
    <col min="9" max="9" width="14.08984375" customWidth="1"/>
    <col min="10" max="10" width="25.81640625" customWidth="1"/>
    <col min="11" max="11" width="14.7265625" customWidth="1"/>
  </cols>
  <sheetData>
    <row r="1" spans="1:18" ht="42.4" customHeight="1" x14ac:dyDescent="0.35">
      <c r="A1" s="5" t="s">
        <v>5</v>
      </c>
      <c r="B1" s="5" t="s">
        <v>6</v>
      </c>
      <c r="C1" s="5" t="s">
        <v>7</v>
      </c>
      <c r="D1" s="5" t="s">
        <v>8</v>
      </c>
      <c r="E1" s="5" t="s">
        <v>9</v>
      </c>
      <c r="F1" s="5" t="s">
        <v>10</v>
      </c>
      <c r="G1" s="5" t="s">
        <v>13</v>
      </c>
      <c r="H1" s="5" t="s">
        <v>14</v>
      </c>
      <c r="I1" s="5" t="s">
        <v>15</v>
      </c>
      <c r="J1" s="5" t="s">
        <v>18</v>
      </c>
      <c r="K1" s="5" t="s">
        <v>19</v>
      </c>
    </row>
    <row r="2" spans="1:18" s="3" customFormat="1" x14ac:dyDescent="0.35">
      <c r="A2" s="3" t="s">
        <v>22</v>
      </c>
      <c r="B2" s="3">
        <v>24</v>
      </c>
      <c r="C2" s="3">
        <v>6</v>
      </c>
      <c r="D2" s="3">
        <v>35</v>
      </c>
      <c r="E2" s="3">
        <v>285</v>
      </c>
      <c r="F2" s="3">
        <v>1</v>
      </c>
      <c r="G2" s="3">
        <v>90</v>
      </c>
      <c r="H2" s="3">
        <v>29</v>
      </c>
      <c r="I2" s="3">
        <v>2</v>
      </c>
      <c r="J2" s="3">
        <v>445</v>
      </c>
      <c r="K2" s="3">
        <v>78.069999999999993</v>
      </c>
      <c r="M2" s="3">
        <v>3135</v>
      </c>
      <c r="P2" s="3" t="e">
        <f>+#REF!+#REF!+#REF!+#REF!+#REF!+#REF!+#REF!+#REF!+#REF!+#REF!+#REF!+#REF!+#REF!+#REF!</f>
        <v>#REF!</v>
      </c>
      <c r="Q2" s="3">
        <f>+K2+K4+K5+K6+K7+K8+K9+K10+K11+K12+K13+K15+K17+K18</f>
        <v>763.87</v>
      </c>
      <c r="R2" s="3">
        <f>+Q2/14</f>
        <v>54.562142857142859</v>
      </c>
    </row>
    <row r="3" spans="1:18" s="4" customFormat="1" x14ac:dyDescent="0.35">
      <c r="A3" s="4" t="s">
        <v>23</v>
      </c>
      <c r="B3" s="4">
        <v>18</v>
      </c>
      <c r="C3" s="4">
        <v>6</v>
      </c>
      <c r="D3" s="4">
        <v>35</v>
      </c>
      <c r="E3" s="4">
        <v>360</v>
      </c>
      <c r="F3" s="4">
        <v>0</v>
      </c>
      <c r="G3" s="4">
        <v>66</v>
      </c>
      <c r="H3" s="4">
        <v>50</v>
      </c>
      <c r="I3" s="4">
        <v>5</v>
      </c>
      <c r="J3" s="4">
        <v>-50</v>
      </c>
      <c r="K3" s="4">
        <v>-2.86</v>
      </c>
      <c r="M3" s="4">
        <v>3785</v>
      </c>
      <c r="O3" s="4" t="s">
        <v>29</v>
      </c>
      <c r="P3" s="4" t="e">
        <f>+#REF!+#REF!+#REF!</f>
        <v>#REF!</v>
      </c>
      <c r="Q3" s="4">
        <f>+K3+K14+K16</f>
        <v>-25.130000000000003</v>
      </c>
      <c r="R3" s="4">
        <f>+Q3/3</f>
        <v>-8.3766666666666669</v>
      </c>
    </row>
    <row r="4" spans="1:18" s="3" customFormat="1" x14ac:dyDescent="0.35">
      <c r="A4" s="3" t="s">
        <v>23</v>
      </c>
      <c r="B4" s="3">
        <v>18</v>
      </c>
      <c r="C4" s="3">
        <v>12</v>
      </c>
      <c r="D4" s="3">
        <v>35</v>
      </c>
      <c r="E4" s="3">
        <v>360</v>
      </c>
      <c r="F4" s="3">
        <v>0</v>
      </c>
      <c r="G4" s="3">
        <v>49</v>
      </c>
      <c r="H4" s="3">
        <v>66</v>
      </c>
      <c r="I4" s="3">
        <v>6</v>
      </c>
      <c r="J4" s="3">
        <v>150</v>
      </c>
      <c r="K4" s="3">
        <v>6.94</v>
      </c>
      <c r="M4" s="3">
        <v>5165</v>
      </c>
      <c r="P4" s="3" t="e">
        <f>+P2/P3</f>
        <v>#REF!</v>
      </c>
    </row>
    <row r="5" spans="1:18" s="3" customFormat="1" x14ac:dyDescent="0.35">
      <c r="A5" s="3" t="s">
        <v>23</v>
      </c>
      <c r="B5" s="3">
        <v>18</v>
      </c>
      <c r="C5" s="3">
        <v>18</v>
      </c>
      <c r="D5" s="3">
        <v>35</v>
      </c>
      <c r="E5" s="3">
        <v>360</v>
      </c>
      <c r="F5" s="3">
        <v>0</v>
      </c>
      <c r="G5" s="3">
        <v>44</v>
      </c>
      <c r="H5" s="3">
        <v>71</v>
      </c>
      <c r="I5" s="3">
        <v>6</v>
      </c>
      <c r="J5" s="3">
        <v>325</v>
      </c>
      <c r="K5" s="3">
        <v>15.05</v>
      </c>
      <c r="M5" s="3">
        <v>5215</v>
      </c>
    </row>
    <row r="6" spans="1:18" s="3" customFormat="1" x14ac:dyDescent="0.35">
      <c r="A6" s="3" t="s">
        <v>24</v>
      </c>
      <c r="B6" s="3">
        <v>0</v>
      </c>
      <c r="C6" s="3">
        <v>6</v>
      </c>
      <c r="D6" s="3">
        <v>260</v>
      </c>
      <c r="E6" s="3">
        <v>60</v>
      </c>
      <c r="F6" s="3">
        <v>1</v>
      </c>
      <c r="G6" s="3">
        <v>45</v>
      </c>
      <c r="H6" s="3">
        <v>9</v>
      </c>
      <c r="I6" s="3">
        <v>67</v>
      </c>
      <c r="J6" s="3">
        <v>-1680</v>
      </c>
      <c r="K6" s="3">
        <v>71.790000000000006</v>
      </c>
      <c r="M6" s="3">
        <v>-6480</v>
      </c>
    </row>
    <row r="7" spans="1:18" s="3" customFormat="1" x14ac:dyDescent="0.35">
      <c r="A7" s="3" t="s">
        <v>24</v>
      </c>
      <c r="B7" s="3">
        <v>0</v>
      </c>
      <c r="C7" s="3">
        <v>24</v>
      </c>
      <c r="D7" s="3">
        <v>260</v>
      </c>
      <c r="E7" s="3">
        <v>60</v>
      </c>
      <c r="F7" s="3">
        <v>1</v>
      </c>
      <c r="G7" s="3">
        <v>40</v>
      </c>
      <c r="H7" s="3">
        <v>10</v>
      </c>
      <c r="I7" s="3">
        <v>71</v>
      </c>
      <c r="J7" s="3">
        <v>-1660</v>
      </c>
      <c r="K7" s="3">
        <v>63.85</v>
      </c>
      <c r="M7" s="3">
        <v>-6600</v>
      </c>
    </row>
    <row r="8" spans="1:18" s="3" customFormat="1" x14ac:dyDescent="0.35">
      <c r="A8" s="3" t="s">
        <v>24</v>
      </c>
      <c r="B8" s="3">
        <v>0</v>
      </c>
      <c r="C8" s="3">
        <v>3</v>
      </c>
      <c r="D8" s="3">
        <v>235</v>
      </c>
      <c r="E8" s="3">
        <v>85</v>
      </c>
      <c r="F8" s="3">
        <v>1</v>
      </c>
      <c r="G8" s="3">
        <v>48</v>
      </c>
      <c r="H8" s="3">
        <v>17</v>
      </c>
      <c r="I8" s="3">
        <v>56</v>
      </c>
      <c r="J8" s="3">
        <v>-765</v>
      </c>
      <c r="K8" s="3">
        <v>19.149999999999999</v>
      </c>
      <c r="M8" s="3">
        <v>-6875</v>
      </c>
    </row>
    <row r="9" spans="1:18" s="3" customFormat="1" x14ac:dyDescent="0.35">
      <c r="A9" s="3" t="s">
        <v>24</v>
      </c>
      <c r="B9" s="3">
        <v>0</v>
      </c>
      <c r="C9" s="3">
        <v>3</v>
      </c>
      <c r="D9" s="3">
        <v>260</v>
      </c>
      <c r="E9" s="3">
        <v>85</v>
      </c>
      <c r="F9" s="3">
        <v>1</v>
      </c>
      <c r="G9" s="3">
        <v>48</v>
      </c>
      <c r="H9" s="3">
        <v>14</v>
      </c>
      <c r="I9" s="3">
        <v>59</v>
      </c>
      <c r="J9" s="3">
        <v>-1375</v>
      </c>
      <c r="K9" s="3">
        <v>37.770000000000003</v>
      </c>
      <c r="M9" s="3">
        <v>-6940</v>
      </c>
    </row>
    <row r="10" spans="1:18" s="3" customFormat="1" x14ac:dyDescent="0.35">
      <c r="A10" s="3" t="s">
        <v>25</v>
      </c>
      <c r="B10" s="3">
        <v>12</v>
      </c>
      <c r="C10" s="3">
        <v>6</v>
      </c>
      <c r="D10" s="3">
        <v>260</v>
      </c>
      <c r="E10" s="3">
        <v>210</v>
      </c>
      <c r="F10" s="3">
        <v>0</v>
      </c>
      <c r="G10" s="3">
        <v>77</v>
      </c>
      <c r="H10" s="3">
        <v>12</v>
      </c>
      <c r="I10" s="3">
        <v>32</v>
      </c>
      <c r="J10" s="3">
        <v>-3600</v>
      </c>
      <c r="K10" s="3">
        <v>115.38</v>
      </c>
      <c r="M10" s="3">
        <v>-9690</v>
      </c>
    </row>
    <row r="11" spans="1:18" s="3" customFormat="1" x14ac:dyDescent="0.35">
      <c r="A11" s="3" t="s">
        <v>25</v>
      </c>
      <c r="B11" s="3">
        <v>12</v>
      </c>
      <c r="C11" s="3">
        <v>3</v>
      </c>
      <c r="D11" s="3">
        <v>260</v>
      </c>
      <c r="E11" s="3">
        <v>210</v>
      </c>
      <c r="F11" s="3">
        <v>1</v>
      </c>
      <c r="G11" s="3">
        <v>74</v>
      </c>
      <c r="H11" s="3">
        <v>15</v>
      </c>
      <c r="I11" s="3">
        <v>32</v>
      </c>
      <c r="J11" s="3">
        <v>-2820</v>
      </c>
      <c r="K11" s="3">
        <v>72.31</v>
      </c>
      <c r="M11" s="3">
        <v>-10010</v>
      </c>
    </row>
    <row r="12" spans="1:18" s="3" customFormat="1" x14ac:dyDescent="0.35">
      <c r="A12" s="3" t="s">
        <v>25</v>
      </c>
      <c r="B12" s="3">
        <v>12</v>
      </c>
      <c r="C12" s="3">
        <v>3</v>
      </c>
      <c r="D12" s="3">
        <v>285</v>
      </c>
      <c r="E12" s="3">
        <v>210</v>
      </c>
      <c r="F12" s="3">
        <v>1</v>
      </c>
      <c r="G12" s="3">
        <v>74</v>
      </c>
      <c r="H12" s="3">
        <v>14</v>
      </c>
      <c r="I12" s="3">
        <v>33</v>
      </c>
      <c r="J12" s="3">
        <v>-2940</v>
      </c>
      <c r="K12" s="3">
        <v>73.680000000000007</v>
      </c>
      <c r="M12" s="3">
        <v>-10125</v>
      </c>
    </row>
    <row r="13" spans="1:18" s="3" customFormat="1" x14ac:dyDescent="0.35">
      <c r="A13" s="3" t="s">
        <v>25</v>
      </c>
      <c r="B13" s="3">
        <v>12</v>
      </c>
      <c r="C13" s="3">
        <v>12</v>
      </c>
      <c r="D13" s="3">
        <v>260</v>
      </c>
      <c r="E13" s="3">
        <v>185</v>
      </c>
      <c r="F13" s="3">
        <v>0</v>
      </c>
      <c r="G13" s="3">
        <v>60</v>
      </c>
      <c r="H13" s="3">
        <v>18</v>
      </c>
      <c r="I13" s="3">
        <v>43</v>
      </c>
      <c r="J13" s="3">
        <v>-3275</v>
      </c>
      <c r="K13" s="3">
        <v>69.98</v>
      </c>
      <c r="M13" s="3">
        <v>-10240</v>
      </c>
    </row>
    <row r="14" spans="1:18" s="4" customFormat="1" x14ac:dyDescent="0.35">
      <c r="A14" s="4" t="s">
        <v>26</v>
      </c>
      <c r="B14" s="4">
        <v>0</v>
      </c>
      <c r="C14" s="4">
        <v>3</v>
      </c>
      <c r="D14" s="4">
        <v>310</v>
      </c>
      <c r="E14" s="4">
        <v>160</v>
      </c>
      <c r="F14" s="4">
        <v>0</v>
      </c>
      <c r="G14" s="4">
        <v>54</v>
      </c>
      <c r="H14" s="4">
        <v>24</v>
      </c>
      <c r="I14" s="4">
        <v>43</v>
      </c>
      <c r="J14" s="4">
        <v>560</v>
      </c>
      <c r="K14" s="4">
        <v>-8.14</v>
      </c>
      <c r="M14" s="4">
        <v>-10330</v>
      </c>
      <c r="O14" s="4" t="s">
        <v>29</v>
      </c>
    </row>
    <row r="15" spans="1:18" s="3" customFormat="1" x14ac:dyDescent="0.35">
      <c r="A15" s="3" t="s">
        <v>25</v>
      </c>
      <c r="B15" s="3">
        <v>12</v>
      </c>
      <c r="C15" s="3">
        <v>12</v>
      </c>
      <c r="D15" s="3">
        <v>260</v>
      </c>
      <c r="E15" s="3">
        <v>210</v>
      </c>
      <c r="F15" s="3">
        <v>0</v>
      </c>
      <c r="G15" s="3">
        <v>60</v>
      </c>
      <c r="H15" s="3">
        <v>19</v>
      </c>
      <c r="I15" s="3">
        <v>42</v>
      </c>
      <c r="J15" s="3">
        <v>-3880</v>
      </c>
      <c r="K15" s="3">
        <v>78.540000000000006</v>
      </c>
      <c r="M15" s="3">
        <v>-10420</v>
      </c>
    </row>
    <row r="16" spans="1:18" s="4" customFormat="1" x14ac:dyDescent="0.35">
      <c r="A16" s="4" t="s">
        <v>26</v>
      </c>
      <c r="B16" s="4">
        <v>0</v>
      </c>
      <c r="C16" s="4">
        <v>3</v>
      </c>
      <c r="D16" s="4">
        <v>310</v>
      </c>
      <c r="E16" s="4">
        <v>335</v>
      </c>
      <c r="F16" s="4">
        <v>0</v>
      </c>
      <c r="G16" s="4">
        <v>54</v>
      </c>
      <c r="H16" s="4">
        <v>37</v>
      </c>
      <c r="I16" s="4">
        <v>30</v>
      </c>
      <c r="J16" s="4">
        <v>1420</v>
      </c>
      <c r="K16" s="4">
        <v>-14.13</v>
      </c>
      <c r="M16" s="4">
        <v>-14245</v>
      </c>
      <c r="O16" s="4" t="s">
        <v>29</v>
      </c>
    </row>
    <row r="17" spans="1:13" s="3" customFormat="1" x14ac:dyDescent="0.35">
      <c r="A17" s="3" t="s">
        <v>27</v>
      </c>
      <c r="B17" s="3">
        <v>0</v>
      </c>
      <c r="C17" s="3">
        <v>1</v>
      </c>
      <c r="D17" s="3">
        <v>360</v>
      </c>
      <c r="E17" s="3">
        <v>285</v>
      </c>
      <c r="F17" s="3">
        <v>1</v>
      </c>
      <c r="G17" s="3">
        <v>49</v>
      </c>
      <c r="H17" s="3">
        <v>33</v>
      </c>
      <c r="I17" s="3">
        <v>39</v>
      </c>
      <c r="J17" s="3">
        <v>765</v>
      </c>
      <c r="K17" s="3">
        <v>6.88</v>
      </c>
      <c r="M17" s="3">
        <v>15390</v>
      </c>
    </row>
    <row r="18" spans="1:13" s="3" customFormat="1" x14ac:dyDescent="0.35">
      <c r="A18" s="3" t="s">
        <v>28</v>
      </c>
      <c r="B18" s="3">
        <v>18</v>
      </c>
      <c r="C18" s="3">
        <v>24</v>
      </c>
      <c r="D18" s="3">
        <v>360</v>
      </c>
      <c r="E18" s="3">
        <v>335</v>
      </c>
      <c r="F18" s="3">
        <v>1</v>
      </c>
      <c r="G18" s="3">
        <v>43</v>
      </c>
      <c r="H18" s="3">
        <v>46</v>
      </c>
      <c r="I18" s="3">
        <v>32</v>
      </c>
      <c r="J18" s="3">
        <v>5840</v>
      </c>
      <c r="K18" s="3">
        <v>54.48</v>
      </c>
      <c r="M18" s="3">
        <v>17285</v>
      </c>
    </row>
    <row r="20" spans="1:13" x14ac:dyDescent="0.35">
      <c r="I20">
        <f>+D2*H2</f>
        <v>1015</v>
      </c>
      <c r="J20">
        <f>+E2*I2</f>
        <v>570</v>
      </c>
      <c r="K20">
        <f>+(I20*100)/(I20+J20)</f>
        <v>64.037854889589909</v>
      </c>
    </row>
    <row r="21" spans="1:13" x14ac:dyDescent="0.35">
      <c r="I21" t="s">
        <v>30</v>
      </c>
      <c r="J21" t="s">
        <v>31</v>
      </c>
    </row>
    <row r="22" spans="1:13" x14ac:dyDescent="0.35">
      <c r="J22">
        <f>+I20-J20</f>
        <v>445</v>
      </c>
    </row>
    <row r="25" spans="1:13" x14ac:dyDescent="0.35">
      <c r="J25">
        <f>+I20/J20</f>
        <v>1.7807017543859649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Bryan Guillermo</cp:lastModifiedBy>
  <dcterms:created xsi:type="dcterms:W3CDTF">2025-05-19T00:34:32Z</dcterms:created>
  <dcterms:modified xsi:type="dcterms:W3CDTF">2026-01-10T08:16:27Z</dcterms:modified>
</cp:coreProperties>
</file>